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an.mlq\Documents\Ecole\Wiki-Cars\doc\"/>
    </mc:Choice>
  </mc:AlternateContent>
  <xr:revisionPtr revIDLastSave="0" documentId="13_ncr:1_{129FEB3E-25E6-46AB-8049-70626377764E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Planning prévisionnel" sheetId="1" r:id="rId1"/>
    <sheet name="Planning effecti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L5vksuKF1fXR73ScrUhwoKsyL4g=="/>
    </ext>
  </extLst>
</workbook>
</file>

<file path=xl/calcChain.xml><?xml version="1.0" encoding="utf-8"?>
<calcChain xmlns="http://schemas.openxmlformats.org/spreadsheetml/2006/main">
  <c r="N33" i="2" l="1"/>
  <c r="M39" i="2"/>
  <c r="L39" i="2"/>
  <c r="K39" i="2"/>
  <c r="J39" i="2"/>
  <c r="I39" i="2"/>
  <c r="H39" i="2"/>
  <c r="G39" i="2"/>
  <c r="F39" i="2"/>
  <c r="E39" i="2"/>
  <c r="D39" i="2"/>
  <c r="C39" i="2"/>
  <c r="B39" i="2"/>
  <c r="N38" i="2"/>
  <c r="N37" i="2"/>
  <c r="N36" i="2"/>
  <c r="N35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2" i="2"/>
  <c r="N11" i="2"/>
  <c r="N10" i="2"/>
  <c r="N9" i="2"/>
  <c r="N8" i="2"/>
  <c r="N7" i="2"/>
  <c r="N6" i="2"/>
  <c r="N4" i="2"/>
  <c r="N3" i="2"/>
  <c r="N2" i="2"/>
  <c r="N21" i="1"/>
  <c r="N19" i="1"/>
  <c r="N20" i="1"/>
  <c r="N22" i="1"/>
  <c r="N23" i="1"/>
  <c r="N24" i="1"/>
  <c r="N25" i="1"/>
  <c r="N26" i="1"/>
  <c r="N27" i="1"/>
  <c r="N28" i="1"/>
  <c r="N29" i="1"/>
  <c r="N30" i="1"/>
  <c r="N31" i="1"/>
  <c r="N32" i="1"/>
  <c r="N34" i="1"/>
  <c r="N35" i="1"/>
  <c r="N4" i="1"/>
  <c r="N14" i="1"/>
  <c r="M38" i="1"/>
  <c r="L38" i="1"/>
  <c r="K38" i="1"/>
  <c r="J38" i="1"/>
  <c r="I38" i="1"/>
  <c r="H38" i="1"/>
  <c r="G38" i="1"/>
  <c r="F38" i="1"/>
  <c r="E38" i="1"/>
  <c r="D38" i="1"/>
  <c r="C38" i="1"/>
  <c r="B38" i="1"/>
  <c r="N37" i="1"/>
  <c r="N36" i="1"/>
  <c r="N18" i="1"/>
  <c r="N17" i="1"/>
  <c r="N16" i="1"/>
  <c r="N15" i="1"/>
  <c r="N12" i="1"/>
  <c r="N11" i="1"/>
  <c r="N10" i="1"/>
  <c r="N9" i="1"/>
  <c r="N8" i="1"/>
  <c r="N7" i="1"/>
  <c r="N6" i="1"/>
  <c r="N3" i="1"/>
  <c r="N2" i="1"/>
  <c r="N40" i="2" l="1"/>
  <c r="M40" i="2"/>
  <c r="N39" i="1"/>
  <c r="M39" i="1"/>
</calcChain>
</file>

<file path=xl/sharedStrings.xml><?xml version="1.0" encoding="utf-8"?>
<sst xmlns="http://schemas.openxmlformats.org/spreadsheetml/2006/main" count="101" uniqueCount="53">
  <si>
    <t>Tâches à réaliser</t>
  </si>
  <si>
    <t>Temps nécessaire</t>
  </si>
  <si>
    <t>1er jour</t>
  </si>
  <si>
    <t>2e jour</t>
  </si>
  <si>
    <t>3e jour</t>
  </si>
  <si>
    <t>4e jour</t>
  </si>
  <si>
    <t>5e jour</t>
  </si>
  <si>
    <t>6e jour</t>
  </si>
  <si>
    <t>7e jour</t>
  </si>
  <si>
    <t>8e jour</t>
  </si>
  <si>
    <t>9e jour</t>
  </si>
  <si>
    <t>10e jour</t>
  </si>
  <si>
    <t>11e jour</t>
  </si>
  <si>
    <t>Total</t>
  </si>
  <si>
    <t>Page d'identification</t>
  </si>
  <si>
    <t>Page de deconnexion</t>
  </si>
  <si>
    <t>Page d'administration</t>
  </si>
  <si>
    <t>Documentation</t>
  </si>
  <si>
    <t>Finitions</t>
  </si>
  <si>
    <t>Lecture Enoncé</t>
  </si>
  <si>
    <t>Template</t>
  </si>
  <si>
    <t>Planification</t>
  </si>
  <si>
    <t>HTML/CSS (vue)</t>
  </si>
  <si>
    <t>FONCTIONS (modèle + contrôleur)</t>
  </si>
  <si>
    <t>GENERAL</t>
  </si>
  <si>
    <t>MCD</t>
  </si>
  <si>
    <t>Ajout nouvel utilisateur</t>
  </si>
  <si>
    <t>Categorie de véhicules</t>
  </si>
  <si>
    <t>Type de mototisation</t>
  </si>
  <si>
    <t>Type d'energie</t>
  </si>
  <si>
    <t>Boîte de vitesses</t>
  </si>
  <si>
    <t>Transmission</t>
  </si>
  <si>
    <t>Creation d'un fiche véhicule</t>
  </si>
  <si>
    <t>Duplication d'une fiche véhicule</t>
  </si>
  <si>
    <t>Modification d'une fiche véhicule</t>
  </si>
  <si>
    <t>Mettre une fiche en favori</t>
  </si>
  <si>
    <t>L'utilisateur logué</t>
  </si>
  <si>
    <t>l'administrateur</t>
  </si>
  <si>
    <t>l'invité</t>
  </si>
  <si>
    <t>Vue des fiches véhicules</t>
  </si>
  <si>
    <t>Gestion d'une fiche véhicule</t>
  </si>
  <si>
    <t>Propriétés d'une fiche voiture</t>
  </si>
  <si>
    <t>Vue des utilisateurs</t>
  </si>
  <si>
    <t>Gestion des utilisateurs</t>
  </si>
  <si>
    <t>Propriétés d'un utilisateur</t>
  </si>
  <si>
    <t>Page création d'une fiche véhicule</t>
  </si>
  <si>
    <t>Page des fiches véhicules</t>
  </si>
  <si>
    <t>Page parametre profil utilisateur</t>
  </si>
  <si>
    <t>Journal de bord</t>
  </si>
  <si>
    <t>Test</t>
  </si>
  <si>
    <t>Type de transmission</t>
  </si>
  <si>
    <t>Type de boite de vitesse</t>
  </si>
  <si>
    <t>Barre de recherche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</si>
</sst>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"/>
  </numFmts>
  <fonts count="3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0" borderId="0" xfId="0" applyFont="1" applyAlignment="1">
      <alignment wrapText="1"/>
    </xf>
    <xf numFmtId="164" fontId="1" fillId="0" borderId="5" xfId="0" applyNumberFormat="1" applyFont="1" applyBorder="1"/>
    <xf numFmtId="20" fontId="1" fillId="0" borderId="6" xfId="0" applyNumberFormat="1" applyFont="1" applyBorder="1"/>
    <xf numFmtId="0" fontId="1" fillId="0" borderId="6" xfId="0" applyFont="1" applyBorder="1"/>
    <xf numFmtId="0" fontId="1" fillId="0" borderId="7" xfId="0" applyFont="1" applyBorder="1"/>
    <xf numFmtId="164" fontId="1" fillId="0" borderId="0" xfId="0" applyNumberFormat="1" applyFont="1"/>
    <xf numFmtId="164" fontId="1" fillId="0" borderId="8" xfId="0" applyNumberFormat="1" applyFont="1" applyBorder="1"/>
    <xf numFmtId="20" fontId="1" fillId="0" borderId="0" xfId="0" applyNumberFormat="1" applyFont="1"/>
    <xf numFmtId="164" fontId="1" fillId="0" borderId="9" xfId="0" applyNumberFormat="1" applyFont="1" applyBorder="1"/>
    <xf numFmtId="0" fontId="1" fillId="0" borderId="0" xfId="0" applyFont="1"/>
    <xf numFmtId="21" fontId="1" fillId="0" borderId="0" xfId="0" applyNumberFormat="1" applyFont="1"/>
    <xf numFmtId="20" fontId="1" fillId="0" borderId="9" xfId="0" applyNumberFormat="1" applyFont="1" applyBorder="1"/>
    <xf numFmtId="164" fontId="1" fillId="0" borderId="10" xfId="0" applyNumberFormat="1" applyFont="1" applyBorder="1"/>
    <xf numFmtId="0" fontId="1" fillId="0" borderId="11" xfId="0" applyFont="1" applyBorder="1"/>
    <xf numFmtId="164" fontId="1" fillId="0" borderId="11" xfId="0" applyNumberFormat="1" applyFont="1" applyBorder="1"/>
    <xf numFmtId="20" fontId="1" fillId="0" borderId="11" xfId="0" applyNumberFormat="1" applyFont="1" applyBorder="1"/>
    <xf numFmtId="164" fontId="1" fillId="0" borderId="12" xfId="0" applyNumberFormat="1" applyFont="1" applyBorder="1"/>
    <xf numFmtId="21" fontId="2" fillId="0" borderId="6" xfId="0" applyNumberFormat="1" applyFont="1" applyBorder="1"/>
    <xf numFmtId="0" fontId="1" fillId="2" borderId="13" xfId="0" applyFont="1" applyFill="1" applyBorder="1" applyAlignment="1">
      <alignment horizontal="center"/>
    </xf>
    <xf numFmtId="164" fontId="1" fillId="2" borderId="14" xfId="0" applyNumberFormat="1" applyFont="1" applyFill="1" applyBorder="1"/>
    <xf numFmtId="20" fontId="1" fillId="2" borderId="15" xfId="0" applyNumberFormat="1" applyFont="1" applyFill="1" applyBorder="1"/>
    <xf numFmtId="164" fontId="1" fillId="2" borderId="15" xfId="0" applyNumberFormat="1" applyFont="1" applyFill="1" applyBorder="1"/>
    <xf numFmtId="164" fontId="1" fillId="2" borderId="16" xfId="0" applyNumberFormat="1" applyFont="1" applyFill="1" applyBorder="1"/>
    <xf numFmtId="0" fontId="1" fillId="2" borderId="15" xfId="0" applyFont="1" applyFill="1" applyBorder="1"/>
    <xf numFmtId="164" fontId="1" fillId="0" borderId="14" xfId="0" applyNumberFormat="1" applyFont="1" applyBorder="1"/>
    <xf numFmtId="20" fontId="1" fillId="0" borderId="15" xfId="0" applyNumberFormat="1" applyFont="1" applyBorder="1"/>
    <xf numFmtId="0" fontId="1" fillId="0" borderId="15" xfId="0" applyFont="1" applyBorder="1"/>
    <xf numFmtId="21" fontId="2" fillId="0" borderId="15" xfId="0" applyNumberFormat="1" applyFont="1" applyBorder="1"/>
    <xf numFmtId="0" fontId="1" fillId="0" borderId="16" xfId="0" applyFont="1" applyBorder="1"/>
    <xf numFmtId="164" fontId="1" fillId="0" borderId="15" xfId="0" applyNumberFormat="1" applyFont="1" applyBorder="1"/>
    <xf numFmtId="164" fontId="1" fillId="0" borderId="16" xfId="0" applyNumberFormat="1" applyFont="1" applyBorder="1"/>
    <xf numFmtId="0" fontId="1" fillId="0" borderId="1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0" fontId="1" fillId="0" borderId="17" xfId="0" applyFont="1" applyBorder="1"/>
    <xf numFmtId="20" fontId="0" fillId="0" borderId="0" xfId="0" applyNumberFormat="1"/>
  </cellXfs>
  <cellStyles count="1">
    <cellStyle name="Normal" xfId="0" builtinId="0"/>
  </cellStyles>
  <dxfs count="7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D9F0"/>
          <bgColor rgb="FFC6D9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B8CCE4"/>
          <bgColor rgb="FFB8CCE4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B8CCE4"/>
          <bgColor rgb="FFB8CCE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B8CCE4"/>
          <bgColor rgb="FFB8CCE4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C6D9F0"/>
          <bgColor rgb="FFC6D9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B8CCE4"/>
          <bgColor rgb="FFB8CCE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D9F0"/>
          <bgColor rgb="FFC6D9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B8CCE4"/>
          <bgColor rgb="FFB8CCE4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B8CCE4"/>
          <bgColor rgb="FFB8CCE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B8CCE4"/>
          <bgColor rgb="FFB8CCE4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C6D9F0"/>
          <bgColor rgb="FFC6D9F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C6D9F0"/>
          <bgColor rgb="FFC6D9F0"/>
        </patternFill>
      </fill>
    </dxf>
    <dxf>
      <fill>
        <patternFill patternType="solid">
          <fgColor rgb="FFB8CCE4"/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11"/>
  <sheetViews>
    <sheetView workbookViewId="0">
      <selection activeCell="A32" sqref="A32"/>
    </sheetView>
  </sheetViews>
  <sheetFormatPr baseColWidth="10" defaultColWidth="12.625" defaultRowHeight="15" customHeight="1" x14ac:dyDescent="0.2"/>
  <cols>
    <col min="1" max="1" width="42.625" customWidth="1"/>
    <col min="2" max="2" width="11.375" customWidth="1"/>
    <col min="3" max="27" width="10" customWidth="1"/>
  </cols>
  <sheetData>
    <row r="1" spans="1:27" ht="14.2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25">
      <c r="A2" s="36" t="s">
        <v>19</v>
      </c>
      <c r="B2" s="6">
        <v>4.1666666666666664E-2</v>
      </c>
      <c r="C2" s="7">
        <v>4.1666666666666664E-2</v>
      </c>
      <c r="D2" s="8"/>
      <c r="E2" s="7"/>
      <c r="F2" s="8"/>
      <c r="G2" s="22"/>
      <c r="H2" s="8"/>
      <c r="I2" s="8"/>
      <c r="J2" s="8"/>
      <c r="K2" s="8"/>
      <c r="L2" s="8"/>
      <c r="M2" s="9"/>
      <c r="N2" s="10">
        <f>SUM(C2:M2)</f>
        <v>4.1666666666666664E-2</v>
      </c>
    </row>
    <row r="3" spans="1:27" ht="14.25" customHeight="1" x14ac:dyDescent="0.25">
      <c r="A3" s="37" t="s">
        <v>21</v>
      </c>
      <c r="B3" s="29">
        <v>8.3333333333333329E-2</v>
      </c>
      <c r="C3" s="30">
        <v>8.3333333333333329E-2</v>
      </c>
      <c r="D3" s="31"/>
      <c r="E3" s="30"/>
      <c r="F3" s="31"/>
      <c r="G3" s="32"/>
      <c r="H3" s="31"/>
      <c r="I3" s="31"/>
      <c r="J3" s="31"/>
      <c r="K3" s="31"/>
      <c r="L3" s="31"/>
      <c r="M3" s="33"/>
      <c r="N3" s="10">
        <f>SUM(C3:M3)</f>
        <v>8.3333333333333329E-2</v>
      </c>
    </row>
    <row r="4" spans="1:27" ht="14.25" customHeight="1" x14ac:dyDescent="0.25">
      <c r="A4" s="37" t="s">
        <v>25</v>
      </c>
      <c r="B4" s="29">
        <v>4.1666666666666664E-2</v>
      </c>
      <c r="C4" s="30">
        <v>4.1666666666666664E-2</v>
      </c>
      <c r="D4" s="31"/>
      <c r="E4" s="30"/>
      <c r="F4" s="31"/>
      <c r="G4" s="32"/>
      <c r="H4" s="31"/>
      <c r="I4" s="31"/>
      <c r="J4" s="31"/>
      <c r="K4" s="31"/>
      <c r="L4" s="31"/>
      <c r="M4" s="33"/>
      <c r="N4" s="10">
        <f>SUM(C4:M4)</f>
        <v>4.1666666666666664E-2</v>
      </c>
    </row>
    <row r="5" spans="1:27" ht="14.25" customHeight="1" x14ac:dyDescent="0.25">
      <c r="A5" s="23" t="s">
        <v>22</v>
      </c>
      <c r="B5" s="24"/>
      <c r="C5" s="25"/>
      <c r="D5" s="26"/>
      <c r="E5" s="25"/>
      <c r="F5" s="26"/>
      <c r="G5" s="25"/>
      <c r="H5" s="26"/>
      <c r="I5" s="25"/>
      <c r="J5" s="26"/>
      <c r="K5" s="26"/>
      <c r="L5" s="25"/>
      <c r="M5" s="27"/>
      <c r="N5" s="10"/>
    </row>
    <row r="6" spans="1:27" ht="14.25" customHeight="1" x14ac:dyDescent="0.25">
      <c r="A6" s="38" t="s">
        <v>20</v>
      </c>
      <c r="B6" s="29">
        <v>8.3333333333333329E-2</v>
      </c>
      <c r="C6" s="30">
        <v>8.3333333333333329E-2</v>
      </c>
      <c r="D6" s="34"/>
      <c r="E6" s="30"/>
      <c r="F6" s="34"/>
      <c r="G6" s="30"/>
      <c r="H6" s="34"/>
      <c r="I6" s="30"/>
      <c r="J6" s="34"/>
      <c r="K6" s="34"/>
      <c r="L6" s="30"/>
      <c r="M6" s="35"/>
      <c r="N6" s="10">
        <f t="shared" ref="N6:N12" si="0">SUM(C6:M6)</f>
        <v>8.3333333333333329E-2</v>
      </c>
    </row>
    <row r="7" spans="1:27" ht="14.25" customHeight="1" x14ac:dyDescent="0.25">
      <c r="A7" s="37" t="s">
        <v>14</v>
      </c>
      <c r="B7" s="11">
        <v>4.1666666666666664E-2</v>
      </c>
      <c r="C7" s="12">
        <v>2.0833333333333332E-2</v>
      </c>
      <c r="D7" s="10">
        <v>2.0833333333333332E-2</v>
      </c>
      <c r="E7" s="12"/>
      <c r="F7" s="10"/>
      <c r="G7" s="12"/>
      <c r="H7" s="10"/>
      <c r="I7" s="12"/>
      <c r="J7" s="10"/>
      <c r="K7" s="10"/>
      <c r="L7" s="12"/>
      <c r="M7" s="13"/>
      <c r="N7" s="10">
        <f t="shared" si="0"/>
        <v>4.1666666666666664E-2</v>
      </c>
    </row>
    <row r="8" spans="1:27" ht="14.25" customHeight="1" x14ac:dyDescent="0.25">
      <c r="A8" s="37" t="s">
        <v>15</v>
      </c>
      <c r="B8" s="11">
        <v>4.1666666666666664E-2</v>
      </c>
      <c r="D8" s="12">
        <v>4.1666666666666664E-2</v>
      </c>
      <c r="E8" s="12"/>
      <c r="F8" s="10"/>
      <c r="G8" s="12"/>
      <c r="H8" s="10"/>
      <c r="I8" s="12"/>
      <c r="J8" s="10"/>
      <c r="K8" s="10"/>
      <c r="L8" s="12"/>
      <c r="M8" s="13"/>
      <c r="N8" s="10">
        <f>SUM(D8:M8)</f>
        <v>4.1666666666666664E-2</v>
      </c>
    </row>
    <row r="9" spans="1:27" ht="14.25" customHeight="1" x14ac:dyDescent="0.25">
      <c r="A9" s="37" t="s">
        <v>45</v>
      </c>
      <c r="B9" s="11">
        <v>4.1666666666666664E-2</v>
      </c>
      <c r="D9" s="12">
        <v>4.1666666666666664E-2</v>
      </c>
      <c r="E9" s="12"/>
      <c r="F9" s="10"/>
      <c r="G9" s="12"/>
      <c r="H9" s="10"/>
      <c r="I9" s="12"/>
      <c r="J9" s="10"/>
      <c r="K9" s="10"/>
      <c r="L9" s="12"/>
      <c r="M9" s="13"/>
      <c r="N9" s="10">
        <f>SUM(D9:M9)</f>
        <v>4.1666666666666664E-2</v>
      </c>
    </row>
    <row r="10" spans="1:27" ht="14.25" customHeight="1" x14ac:dyDescent="0.25">
      <c r="A10" s="37" t="s">
        <v>16</v>
      </c>
      <c r="B10" s="11">
        <v>4.1666666666666664E-2</v>
      </c>
      <c r="C10" s="12"/>
      <c r="D10" s="10">
        <v>4.1666666666666664E-2</v>
      </c>
      <c r="E10" s="12"/>
      <c r="F10" s="10"/>
      <c r="G10" s="12"/>
      <c r="H10" s="10"/>
      <c r="I10" s="12"/>
      <c r="J10" s="10"/>
      <c r="K10" s="10"/>
      <c r="L10" s="12"/>
      <c r="M10" s="13"/>
      <c r="N10" s="10">
        <f t="shared" si="0"/>
        <v>4.1666666666666664E-2</v>
      </c>
    </row>
    <row r="11" spans="1:27" ht="14.25" customHeight="1" x14ac:dyDescent="0.25">
      <c r="A11" s="37" t="s">
        <v>46</v>
      </c>
      <c r="B11" s="11">
        <v>8.3333333333333329E-2</v>
      </c>
      <c r="C11" s="14"/>
      <c r="D11" s="10">
        <v>4.1666666666666664E-2</v>
      </c>
      <c r="E11" s="12">
        <v>4.1666666666666664E-2</v>
      </c>
      <c r="F11" s="10"/>
      <c r="G11" s="14"/>
      <c r="H11" s="10"/>
      <c r="I11" s="14"/>
      <c r="J11" s="10"/>
      <c r="K11" s="10"/>
      <c r="L11" s="14"/>
      <c r="M11" s="13"/>
      <c r="N11" s="10">
        <f t="shared" si="0"/>
        <v>8.3333333333333329E-2</v>
      </c>
    </row>
    <row r="12" spans="1:27" ht="14.25" customHeight="1" x14ac:dyDescent="0.25">
      <c r="A12" s="37" t="s">
        <v>47</v>
      </c>
      <c r="B12" s="11">
        <v>8.3333333333333329E-2</v>
      </c>
      <c r="C12" s="12"/>
      <c r="D12" s="10"/>
      <c r="E12" s="12">
        <v>8.3333333333333329E-2</v>
      </c>
      <c r="F12" s="10"/>
      <c r="G12" s="14"/>
      <c r="H12" s="10"/>
      <c r="I12" s="14"/>
      <c r="J12" s="10"/>
      <c r="K12" s="10"/>
      <c r="L12" s="14"/>
      <c r="M12" s="13"/>
      <c r="N12" s="10">
        <f t="shared" si="0"/>
        <v>8.3333333333333329E-2</v>
      </c>
    </row>
    <row r="13" spans="1:27" ht="14.25" customHeight="1" x14ac:dyDescent="0.25">
      <c r="A13" s="23" t="s">
        <v>23</v>
      </c>
      <c r="B13" s="24"/>
      <c r="C13" s="28"/>
      <c r="D13" s="26"/>
      <c r="E13" s="28"/>
      <c r="F13" s="26"/>
      <c r="G13" s="28"/>
      <c r="H13" s="26"/>
      <c r="I13" s="28"/>
      <c r="J13" s="26"/>
      <c r="K13" s="26"/>
      <c r="L13" s="28"/>
      <c r="M13" s="27"/>
      <c r="N13" s="10"/>
    </row>
    <row r="14" spans="1:27" ht="14.25" customHeight="1" x14ac:dyDescent="0.25">
      <c r="A14" s="37" t="s">
        <v>26</v>
      </c>
      <c r="B14" s="11">
        <v>4.1666666666666664E-2</v>
      </c>
      <c r="C14" s="14"/>
      <c r="D14" s="10"/>
      <c r="E14" s="12">
        <v>4.1666666666666664E-2</v>
      </c>
      <c r="F14" s="10"/>
      <c r="G14" s="14"/>
      <c r="H14" s="10"/>
      <c r="I14" s="14"/>
      <c r="J14" s="10"/>
      <c r="K14" s="10"/>
      <c r="L14" s="14"/>
      <c r="M14" s="13"/>
      <c r="N14" s="10">
        <f>SUM(C14:M14)</f>
        <v>4.1666666666666664E-2</v>
      </c>
    </row>
    <row r="15" spans="1:27" ht="14.25" customHeight="1" x14ac:dyDescent="0.25">
      <c r="A15" s="37" t="s">
        <v>27</v>
      </c>
      <c r="B15" s="11">
        <v>4.1666666666666664E-2</v>
      </c>
      <c r="C15" s="14"/>
      <c r="D15" s="10"/>
      <c r="E15" s="12">
        <v>2.0833333333333332E-2</v>
      </c>
      <c r="F15" s="10">
        <v>2.0833333333333332E-2</v>
      </c>
      <c r="G15" s="15"/>
      <c r="H15" s="10"/>
      <c r="I15" s="14"/>
      <c r="J15" s="10"/>
      <c r="K15" s="10"/>
      <c r="L15" s="14"/>
      <c r="M15" s="13"/>
      <c r="N15" s="10">
        <f t="shared" ref="N15:N37" si="1">SUM(C15:M15)</f>
        <v>4.1666666666666664E-2</v>
      </c>
    </row>
    <row r="16" spans="1:27" ht="14.25" customHeight="1" x14ac:dyDescent="0.25">
      <c r="A16" s="37" t="s">
        <v>28</v>
      </c>
      <c r="B16" s="11">
        <v>4.1666666666666664E-2</v>
      </c>
      <c r="C16" s="14"/>
      <c r="D16" s="10"/>
      <c r="E16" s="12"/>
      <c r="F16" s="10">
        <v>4.1666666666666664E-2</v>
      </c>
      <c r="G16" s="12"/>
      <c r="H16" s="10"/>
      <c r="I16" s="14"/>
      <c r="J16" s="10"/>
      <c r="K16" s="10"/>
      <c r="L16" s="14"/>
      <c r="M16" s="13"/>
      <c r="N16" s="10">
        <f t="shared" si="1"/>
        <v>4.1666666666666664E-2</v>
      </c>
    </row>
    <row r="17" spans="1:14" ht="14.25" customHeight="1" x14ac:dyDescent="0.25">
      <c r="A17" s="37" t="s">
        <v>29</v>
      </c>
      <c r="B17" s="11">
        <v>4.1666666666666664E-2</v>
      </c>
      <c r="C17" s="12"/>
      <c r="D17" s="10"/>
      <c r="E17" s="12"/>
      <c r="F17" s="10">
        <v>4.1666666666666664E-2</v>
      </c>
      <c r="G17" s="12"/>
      <c r="H17" s="10"/>
      <c r="I17" s="12"/>
      <c r="J17" s="10"/>
      <c r="K17" s="10"/>
      <c r="L17" s="12"/>
      <c r="M17" s="13"/>
      <c r="N17" s="10">
        <f t="shared" si="1"/>
        <v>4.1666666666666664E-2</v>
      </c>
    </row>
    <row r="18" spans="1:14" ht="14.25" customHeight="1" x14ac:dyDescent="0.25">
      <c r="A18" s="37" t="s">
        <v>30</v>
      </c>
      <c r="B18" s="11">
        <v>4.1666666666666664E-2</v>
      </c>
      <c r="C18" s="12"/>
      <c r="D18" s="10"/>
      <c r="F18" s="12">
        <v>4.1666666666666664E-2</v>
      </c>
      <c r="G18" s="12"/>
      <c r="H18" s="10"/>
      <c r="I18" s="12"/>
      <c r="J18" s="10"/>
      <c r="K18" s="10"/>
      <c r="L18" s="12"/>
      <c r="M18" s="13"/>
      <c r="N18" s="10">
        <f t="shared" si="1"/>
        <v>4.1666666666666664E-2</v>
      </c>
    </row>
    <row r="19" spans="1:14" ht="14.25" customHeight="1" x14ac:dyDescent="0.25">
      <c r="A19" s="37" t="s">
        <v>31</v>
      </c>
      <c r="B19" s="11">
        <v>4.1666666666666664E-2</v>
      </c>
      <c r="C19" s="12"/>
      <c r="D19" s="10"/>
      <c r="F19" s="12">
        <v>4.1666666666666664E-2</v>
      </c>
      <c r="G19" s="12"/>
      <c r="H19" s="10"/>
      <c r="I19" s="12"/>
      <c r="J19" s="10"/>
      <c r="K19" s="10"/>
      <c r="L19" s="12"/>
      <c r="M19" s="13"/>
      <c r="N19" s="10">
        <f t="shared" si="1"/>
        <v>4.1666666666666664E-2</v>
      </c>
    </row>
    <row r="20" spans="1:14" ht="14.25" customHeight="1" x14ac:dyDescent="0.25">
      <c r="A20" s="37" t="s">
        <v>32</v>
      </c>
      <c r="B20" s="11">
        <v>8.3333333333333329E-2</v>
      </c>
      <c r="C20" s="12"/>
      <c r="D20" s="10"/>
      <c r="F20" s="12"/>
      <c r="G20" s="10">
        <v>8.3333333333333329E-2</v>
      </c>
      <c r="H20" s="10"/>
      <c r="I20" s="12"/>
      <c r="J20" s="10"/>
      <c r="K20" s="10"/>
      <c r="L20" s="12"/>
      <c r="M20" s="13"/>
      <c r="N20" s="10">
        <f t="shared" si="1"/>
        <v>8.3333333333333329E-2</v>
      </c>
    </row>
    <row r="21" spans="1:14" ht="14.25" customHeight="1" x14ac:dyDescent="0.25">
      <c r="A21" s="37" t="s">
        <v>33</v>
      </c>
      <c r="B21" s="29">
        <v>0.125</v>
      </c>
      <c r="C21" s="12"/>
      <c r="D21" s="10"/>
      <c r="F21" s="12"/>
      <c r="G21" s="12">
        <v>0.10416666666666667</v>
      </c>
      <c r="H21" s="10">
        <v>2.0833333333333332E-2</v>
      </c>
      <c r="I21" s="12"/>
      <c r="J21" s="10"/>
      <c r="K21" s="10"/>
      <c r="L21" s="12"/>
      <c r="M21" s="35"/>
      <c r="N21" s="10">
        <f>SUM(C21:M21)</f>
        <v>0.125</v>
      </c>
    </row>
    <row r="22" spans="1:14" ht="14.25" customHeight="1" x14ac:dyDescent="0.25">
      <c r="A22" s="37" t="s">
        <v>35</v>
      </c>
      <c r="B22" s="29">
        <v>6.25E-2</v>
      </c>
      <c r="C22" s="12"/>
      <c r="D22" s="10"/>
      <c r="E22" s="12"/>
      <c r="G22" s="10"/>
      <c r="H22" s="10">
        <v>6.25E-2</v>
      </c>
      <c r="I22" s="12"/>
      <c r="J22" s="10"/>
      <c r="K22" s="10"/>
      <c r="L22" s="12"/>
      <c r="M22" s="35"/>
      <c r="N22" s="10">
        <f t="shared" si="1"/>
        <v>6.25E-2</v>
      </c>
    </row>
    <row r="23" spans="1:14" ht="14.25" customHeight="1" x14ac:dyDescent="0.25">
      <c r="A23" s="37" t="s">
        <v>34</v>
      </c>
      <c r="B23" s="29">
        <v>8.3333333333333329E-2</v>
      </c>
      <c r="C23" s="12"/>
      <c r="D23" s="10"/>
      <c r="E23" s="12"/>
      <c r="G23" s="10"/>
      <c r="H23" s="10">
        <v>8.3333333333333329E-2</v>
      </c>
      <c r="I23" s="12"/>
      <c r="J23" s="10"/>
      <c r="K23" s="10"/>
      <c r="L23" s="12"/>
      <c r="M23" s="35"/>
      <c r="N23" s="10">
        <f t="shared" si="1"/>
        <v>8.3333333333333329E-2</v>
      </c>
    </row>
    <row r="24" spans="1:14" ht="14.25" customHeight="1" x14ac:dyDescent="0.25">
      <c r="A24" s="37" t="s">
        <v>37</v>
      </c>
      <c r="B24" s="29">
        <v>8.3333333333333329E-2</v>
      </c>
      <c r="C24" s="12"/>
      <c r="D24" s="10"/>
      <c r="E24" s="12"/>
      <c r="F24" s="10"/>
      <c r="G24" s="10"/>
      <c r="H24" s="12">
        <v>2.0833333333333332E-2</v>
      </c>
      <c r="I24" s="12">
        <v>6.25E-2</v>
      </c>
      <c r="J24" s="10"/>
      <c r="K24" s="10"/>
      <c r="L24" s="12"/>
      <c r="M24" s="35"/>
      <c r="N24" s="10">
        <f t="shared" si="1"/>
        <v>8.3333333333333329E-2</v>
      </c>
    </row>
    <row r="25" spans="1:14" ht="14.25" customHeight="1" x14ac:dyDescent="0.25">
      <c r="A25" s="37" t="s">
        <v>36</v>
      </c>
      <c r="B25" s="29">
        <v>6.25E-2</v>
      </c>
      <c r="C25" s="12"/>
      <c r="D25" s="10"/>
      <c r="E25" s="12"/>
      <c r="F25" s="10"/>
      <c r="G25" s="12"/>
      <c r="H25" s="10"/>
      <c r="I25" s="12">
        <v>6.25E-2</v>
      </c>
      <c r="J25" s="10"/>
      <c r="K25" s="10"/>
      <c r="L25" s="12"/>
      <c r="M25" s="35"/>
      <c r="N25" s="10">
        <f t="shared" si="1"/>
        <v>6.25E-2</v>
      </c>
    </row>
    <row r="26" spans="1:14" ht="14.25" customHeight="1" x14ac:dyDescent="0.25">
      <c r="A26" s="37" t="s">
        <v>38</v>
      </c>
      <c r="B26" s="29">
        <v>8.3333333333333329E-2</v>
      </c>
      <c r="C26" s="12"/>
      <c r="D26" s="10"/>
      <c r="E26" s="12"/>
      <c r="F26" s="10"/>
      <c r="H26" s="12"/>
      <c r="I26" s="12">
        <v>6.25E-2</v>
      </c>
      <c r="J26" s="10">
        <v>2.0833333333333332E-2</v>
      </c>
      <c r="K26" s="10"/>
      <c r="L26" s="12"/>
      <c r="M26" s="35"/>
      <c r="N26" s="10">
        <f t="shared" si="1"/>
        <v>8.3333333333333329E-2</v>
      </c>
    </row>
    <row r="27" spans="1:14" ht="14.25" customHeight="1" x14ac:dyDescent="0.25">
      <c r="A27" s="37" t="s">
        <v>39</v>
      </c>
      <c r="B27" s="29">
        <v>8.3333333333333329E-2</v>
      </c>
      <c r="C27" s="12"/>
      <c r="D27" s="10"/>
      <c r="E27" s="12"/>
      <c r="F27" s="10"/>
      <c r="G27" s="12"/>
      <c r="J27" s="10">
        <v>8.3333333333333329E-2</v>
      </c>
      <c r="K27" s="10"/>
      <c r="L27" s="12"/>
      <c r="M27" s="35"/>
      <c r="N27" s="10">
        <f t="shared" si="1"/>
        <v>8.3333333333333329E-2</v>
      </c>
    </row>
    <row r="28" spans="1:14" ht="14.25" customHeight="1" x14ac:dyDescent="0.25">
      <c r="A28" s="37" t="s">
        <v>40</v>
      </c>
      <c r="B28" s="11">
        <v>8.3333333333333329E-2</v>
      </c>
      <c r="C28" s="12"/>
      <c r="D28" s="10"/>
      <c r="E28" s="12"/>
      <c r="F28" s="10"/>
      <c r="G28" s="12"/>
      <c r="H28" s="10"/>
      <c r="J28" s="12">
        <v>8.3333333333333329E-2</v>
      </c>
      <c r="K28" s="10"/>
      <c r="L28" s="12"/>
      <c r="M28" s="13"/>
      <c r="N28" s="10">
        <f t="shared" si="1"/>
        <v>8.3333333333333329E-2</v>
      </c>
    </row>
    <row r="29" spans="1:14" ht="14.25" customHeight="1" x14ac:dyDescent="0.25">
      <c r="A29" s="37" t="s">
        <v>41</v>
      </c>
      <c r="B29" s="11">
        <v>8.3333333333333329E-2</v>
      </c>
      <c r="C29" s="12"/>
      <c r="D29" s="10"/>
      <c r="E29" s="12"/>
      <c r="F29" s="10"/>
      <c r="G29" s="12"/>
      <c r="H29" s="10"/>
      <c r="K29" s="12">
        <v>8.3333333333333329E-2</v>
      </c>
      <c r="L29" s="12"/>
      <c r="M29" s="13"/>
      <c r="N29" s="10">
        <f t="shared" si="1"/>
        <v>8.3333333333333329E-2</v>
      </c>
    </row>
    <row r="30" spans="1:14" ht="14.25" customHeight="1" x14ac:dyDescent="0.25">
      <c r="A30" s="37" t="s">
        <v>42</v>
      </c>
      <c r="B30" s="29">
        <v>8.3333333333333329E-2</v>
      </c>
      <c r="C30" s="12"/>
      <c r="D30" s="10"/>
      <c r="E30" s="12"/>
      <c r="F30" s="10"/>
      <c r="G30" s="12"/>
      <c r="H30" s="10"/>
      <c r="I30" s="12"/>
      <c r="J30" s="10"/>
      <c r="K30" s="10">
        <v>8.3333333333333329E-2</v>
      </c>
      <c r="L30" s="12"/>
      <c r="M30" s="35"/>
      <c r="N30" s="10">
        <f t="shared" si="1"/>
        <v>8.3333333333333329E-2</v>
      </c>
    </row>
    <row r="31" spans="1:14" ht="14.25" customHeight="1" x14ac:dyDescent="0.25">
      <c r="A31" s="37" t="s">
        <v>43</v>
      </c>
      <c r="B31" s="29">
        <v>8.3333333333333329E-2</v>
      </c>
      <c r="C31" s="12"/>
      <c r="D31" s="10"/>
      <c r="E31" s="12"/>
      <c r="F31" s="10"/>
      <c r="G31" s="12"/>
      <c r="H31" s="10"/>
      <c r="I31" s="12"/>
      <c r="J31" s="10"/>
      <c r="K31" s="12">
        <v>2.0833333333333332E-2</v>
      </c>
      <c r="L31" s="10">
        <v>6.25E-2</v>
      </c>
      <c r="M31" s="35"/>
      <c r="N31" s="10">
        <f t="shared" si="1"/>
        <v>8.3333333333333329E-2</v>
      </c>
    </row>
    <row r="32" spans="1:14" ht="14.25" customHeight="1" x14ac:dyDescent="0.25">
      <c r="A32" s="37" t="s">
        <v>44</v>
      </c>
      <c r="B32" s="29">
        <v>8.3333333333333329E-2</v>
      </c>
      <c r="C32" s="12"/>
      <c r="D32" s="10"/>
      <c r="E32" s="12"/>
      <c r="F32" s="10"/>
      <c r="G32" s="12"/>
      <c r="H32" s="10"/>
      <c r="I32" s="12"/>
      <c r="L32" s="10">
        <v>8.3333333333333329E-2</v>
      </c>
      <c r="M32" s="35"/>
      <c r="N32" s="10">
        <f t="shared" si="1"/>
        <v>8.3333333333333329E-2</v>
      </c>
    </row>
    <row r="33" spans="1:14" ht="14.25" customHeight="1" x14ac:dyDescent="0.25">
      <c r="A33" s="23" t="s">
        <v>24</v>
      </c>
      <c r="B33" s="24"/>
      <c r="C33" s="28"/>
      <c r="D33" s="26"/>
      <c r="E33" s="28"/>
      <c r="F33" s="26"/>
      <c r="G33" s="28"/>
      <c r="H33" s="26"/>
      <c r="I33" s="28"/>
      <c r="J33" s="26"/>
      <c r="K33" s="26"/>
      <c r="L33" s="28"/>
      <c r="M33" s="27"/>
      <c r="N33" s="10"/>
    </row>
    <row r="34" spans="1:14" ht="14.25" customHeight="1" x14ac:dyDescent="0.25">
      <c r="A34" s="37" t="s">
        <v>49</v>
      </c>
      <c r="B34" s="11">
        <v>0.41666666666666669</v>
      </c>
      <c r="C34" s="12"/>
      <c r="D34" s="12">
        <v>4.1666666666666664E-2</v>
      </c>
      <c r="E34" s="12">
        <v>4.1666666666666664E-2</v>
      </c>
      <c r="F34" s="12">
        <v>4.1666666666666664E-2</v>
      </c>
      <c r="G34" s="12">
        <v>4.1666666666666664E-2</v>
      </c>
      <c r="H34" s="12">
        <v>4.1666666666666664E-2</v>
      </c>
      <c r="I34" s="12">
        <v>4.1666666666666664E-2</v>
      </c>
      <c r="J34" s="12">
        <v>4.1666666666666664E-2</v>
      </c>
      <c r="K34" s="12">
        <v>4.1666666666666664E-2</v>
      </c>
      <c r="L34" s="12">
        <v>4.1666666666666664E-2</v>
      </c>
      <c r="M34" s="13">
        <v>4.1666666666666664E-2</v>
      </c>
      <c r="N34" s="10">
        <f t="shared" si="1"/>
        <v>0.41666666666666669</v>
      </c>
    </row>
    <row r="35" spans="1:14" ht="14.25" customHeight="1" x14ac:dyDescent="0.25">
      <c r="A35" s="37" t="s">
        <v>48</v>
      </c>
      <c r="B35" s="11">
        <v>0.22916666666666666</v>
      </c>
      <c r="C35" s="12">
        <v>2.0833333333333332E-2</v>
      </c>
      <c r="D35" s="12">
        <v>2.0833333333333332E-2</v>
      </c>
      <c r="E35" s="12">
        <v>2.0833333333333332E-2</v>
      </c>
      <c r="F35" s="12">
        <v>2.0833333333333332E-2</v>
      </c>
      <c r="G35" s="12">
        <v>2.0833333333333332E-2</v>
      </c>
      <c r="H35" s="12">
        <v>2.0833333333333332E-2</v>
      </c>
      <c r="I35" s="12">
        <v>2.0833333333333332E-2</v>
      </c>
      <c r="J35" s="12">
        <v>2.0833333333333332E-2</v>
      </c>
      <c r="K35" s="12">
        <v>2.0833333333333332E-2</v>
      </c>
      <c r="L35" s="12">
        <v>2.0833333333333332E-2</v>
      </c>
      <c r="M35" s="13">
        <v>2.0833333333333332E-2</v>
      </c>
      <c r="N35" s="10">
        <f t="shared" si="1"/>
        <v>0.22916666666666669</v>
      </c>
    </row>
    <row r="36" spans="1:14" ht="14.25" customHeight="1" x14ac:dyDescent="0.25">
      <c r="A36" s="37" t="s">
        <v>17</v>
      </c>
      <c r="B36" s="11">
        <v>1</v>
      </c>
      <c r="C36" s="12">
        <v>4.1666666666666664E-2</v>
      </c>
      <c r="D36" s="12">
        <v>8.3333333333333329E-2</v>
      </c>
      <c r="E36" s="12">
        <v>8.3333333333333329E-2</v>
      </c>
      <c r="F36" s="12">
        <v>8.3333333333333329E-2</v>
      </c>
      <c r="G36" s="12">
        <v>8.3333333333333329E-2</v>
      </c>
      <c r="H36" s="12">
        <v>8.3333333333333329E-2</v>
      </c>
      <c r="I36" s="12">
        <v>8.3333333333333329E-2</v>
      </c>
      <c r="J36" s="12">
        <v>8.3333333333333329E-2</v>
      </c>
      <c r="K36" s="12">
        <v>8.3333333333333329E-2</v>
      </c>
      <c r="L36" s="12">
        <v>0.125</v>
      </c>
      <c r="M36" s="16">
        <v>0.16666666666666666</v>
      </c>
      <c r="N36" s="10">
        <f t="shared" si="1"/>
        <v>1</v>
      </c>
    </row>
    <row r="37" spans="1:14" ht="14.25" customHeight="1" x14ac:dyDescent="0.25">
      <c r="A37" s="39" t="s">
        <v>18</v>
      </c>
      <c r="B37" s="17">
        <v>0.10416666666666667</v>
      </c>
      <c r="C37" s="18"/>
      <c r="D37" s="19"/>
      <c r="E37" s="18"/>
      <c r="F37" s="19"/>
      <c r="G37" s="18"/>
      <c r="H37" s="19"/>
      <c r="I37" s="18"/>
      <c r="J37" s="19"/>
      <c r="K37" s="19"/>
      <c r="L37" s="20"/>
      <c r="M37" s="21">
        <v>0.10416666666666667</v>
      </c>
      <c r="N37" s="10">
        <f t="shared" si="1"/>
        <v>0.10416666666666667</v>
      </c>
    </row>
    <row r="38" spans="1:14" ht="14.25" customHeight="1" x14ac:dyDescent="0.25">
      <c r="B38" s="10">
        <f t="shared" ref="B38:M38" si="2">SUM(B2:B37)</f>
        <v>3.6666666666666656</v>
      </c>
      <c r="C38" s="10">
        <f t="shared" si="2"/>
        <v>0.33333333333333331</v>
      </c>
      <c r="D38" s="10">
        <f t="shared" si="2"/>
        <v>0.33333333333333331</v>
      </c>
      <c r="E38" s="10">
        <f t="shared" si="2"/>
        <v>0.33333333333333331</v>
      </c>
      <c r="F38" s="10">
        <f t="shared" si="2"/>
        <v>0.33333333333333331</v>
      </c>
      <c r="G38" s="10">
        <f t="shared" si="2"/>
        <v>0.33333333333333331</v>
      </c>
      <c r="H38" s="10">
        <f t="shared" si="2"/>
        <v>0.33333333333333331</v>
      </c>
      <c r="I38" s="10">
        <f t="shared" si="2"/>
        <v>0.33333333333333331</v>
      </c>
      <c r="J38" s="10">
        <f t="shared" si="2"/>
        <v>0.33333333333333331</v>
      </c>
      <c r="K38" s="10">
        <f t="shared" si="2"/>
        <v>0.33333333333333331</v>
      </c>
      <c r="L38" s="10">
        <f t="shared" si="2"/>
        <v>0.33333333333333331</v>
      </c>
      <c r="M38" s="10">
        <f t="shared" si="2"/>
        <v>0.33333333333333331</v>
      </c>
    </row>
    <row r="39" spans="1:14" ht="14.25" customHeight="1" x14ac:dyDescent="0.25">
      <c r="M39" s="10">
        <f>SUM(C38:M38)</f>
        <v>3.666666666666667</v>
      </c>
      <c r="N39" s="10">
        <f>SUM(N2:N37)</f>
        <v>3.6666666666666656</v>
      </c>
    </row>
    <row r="40" spans="1:14" ht="14.25" customHeight="1" x14ac:dyDescent="0.2"/>
    <row r="41" spans="1:14" ht="14.25" customHeight="1" x14ac:dyDescent="0.2"/>
    <row r="42" spans="1:14" ht="14.25" customHeight="1" x14ac:dyDescent="0.2"/>
    <row r="43" spans="1:14" ht="14.25" customHeight="1" x14ac:dyDescent="0.2"/>
    <row r="44" spans="1:14" ht="14.25" customHeight="1" x14ac:dyDescent="0.2"/>
    <row r="45" spans="1:14" ht="14.25" customHeight="1" x14ac:dyDescent="0.2"/>
    <row r="46" spans="1:14" ht="14.25" customHeight="1" x14ac:dyDescent="0.2"/>
    <row r="47" spans="1:14" ht="14.25" customHeight="1" x14ac:dyDescent="0.2"/>
    <row r="48" spans="1:1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</sheetData>
  <conditionalFormatting sqref="A1:XFD1048576">
    <cfRule type="colorScale" priority="1">
      <colorScale>
        <cfvo type="min"/>
        <cfvo type="percentile" val="50"/>
        <cfvo type="max"/>
        <color theme="4" tint="0.59999389629810485"/>
        <color theme="8" tint="0.39997558519241921"/>
        <color theme="8" tint="-0.249977111117893"/>
      </colorScale>
    </cfRule>
  </conditionalFormatting>
  <conditionalFormatting sqref="C5:C7 D8:D9 F18:F21 E22:E37 G24:H24 G25 H26 J27:J28 G27:G37 K29 I30:I33 K31">
    <cfRule type="cellIs" dxfId="72" priority="6" operator="greaterThan">
      <formula>0.00001157407407</formula>
    </cfRule>
  </conditionalFormatting>
  <conditionalFormatting sqref="C7 D8 D9:J9 F18:J20 F21 C22:E23 C24:J25 C26:F26 H26:J26 C27:G27 J27:J28 C28:H29 K29 C30:J31 K31 C32:I32 C33:K33 K5:M12 C14:J17 L14:M33 C18:D21 G21:J23">
    <cfRule type="cellIs" dxfId="71" priority="25" operator="greaterThan">
      <formula>0</formula>
    </cfRule>
  </conditionalFormatting>
  <conditionalFormatting sqref="C36:D36">
    <cfRule type="cellIs" dxfId="70" priority="12" operator="greaterThan">
      <formula>0</formula>
    </cfRule>
    <cfRule type="cellIs" dxfId="69" priority="13" operator="greaterThan">
      <formula>0</formula>
    </cfRule>
    <cfRule type="cellIs" dxfId="68" priority="14" operator="greaterThan">
      <formula>0</formula>
    </cfRule>
  </conditionalFormatting>
  <conditionalFormatting sqref="C5:J6 D7:J8">
    <cfRule type="cellIs" dxfId="67" priority="37" operator="greaterThan">
      <formula>0</formula>
    </cfRule>
    <cfRule type="cellIs" dxfId="66" priority="38" operator="greaterThan">
      <formula>0</formula>
    </cfRule>
  </conditionalFormatting>
  <conditionalFormatting sqref="C10:J12">
    <cfRule type="cellIs" dxfId="65" priority="7" operator="greaterThan">
      <formula>0</formula>
    </cfRule>
    <cfRule type="cellIs" dxfId="64" priority="8" operator="greaterThan">
      <formula>0</formula>
    </cfRule>
    <cfRule type="cellIs" dxfId="63" priority="9" operator="greaterThan">
      <formula>0</formula>
    </cfRule>
  </conditionalFormatting>
  <conditionalFormatting sqref="C34:J35 L34:M37 E36:J36 K14:K31 L31:L32 C37:J37">
    <cfRule type="cellIs" dxfId="62" priority="69" operator="greaterThan">
      <formula>0</formula>
    </cfRule>
  </conditionalFormatting>
  <conditionalFormatting sqref="C34:J35 L34:M37 E36:J36">
    <cfRule type="cellIs" dxfId="61" priority="68" operator="greaterThan">
      <formula>0</formula>
    </cfRule>
  </conditionalFormatting>
  <conditionalFormatting sqref="C34:K34 C35:J35 E36:J36 C37:J37 K35:K37 K14:K31 L31:L32">
    <cfRule type="cellIs" dxfId="60" priority="63" operator="greaterThan">
      <formula>0</formula>
    </cfRule>
  </conditionalFormatting>
  <conditionalFormatting sqref="C2:M4 K33:K37">
    <cfRule type="cellIs" dxfId="59" priority="61" operator="greaterThan">
      <formula>0</formula>
    </cfRule>
  </conditionalFormatting>
  <conditionalFormatting sqref="C2:M4">
    <cfRule type="cellIs" dxfId="58" priority="54" operator="greaterThan">
      <formula>0.00001157407407</formula>
    </cfRule>
    <cfRule type="cellIs" dxfId="57" priority="55" operator="greaterThan">
      <formula>0</formula>
    </cfRule>
  </conditionalFormatting>
  <conditionalFormatting sqref="C13:M13">
    <cfRule type="cellIs" dxfId="56" priority="3" operator="greaterThan">
      <formula>0</formula>
    </cfRule>
    <cfRule type="cellIs" dxfId="55" priority="4" operator="greaterThan">
      <formula>0</formula>
    </cfRule>
    <cfRule type="cellIs" dxfId="54" priority="5" operator="greaterThan">
      <formula>0</formula>
    </cfRule>
  </conditionalFormatting>
  <conditionalFormatting sqref="C38:M38">
    <cfRule type="cellIs" dxfId="53" priority="48" operator="equal">
      <formula>0.333333333333333</formula>
    </cfRule>
  </conditionalFormatting>
  <conditionalFormatting sqref="D34:D35 J34:J36 F36 H36 M36">
    <cfRule type="cellIs" dxfId="52" priority="66" operator="greaterThan">
      <formula>0.00001157407407</formula>
    </cfRule>
  </conditionalFormatting>
  <conditionalFormatting sqref="D36">
    <cfRule type="cellIs" dxfId="51" priority="10" operator="greaterThan">
      <formula>0</formula>
    </cfRule>
    <cfRule type="cellIs" dxfId="50" priority="11" operator="greaterThan">
      <formula>0.00001157407407</formula>
    </cfRule>
  </conditionalFormatting>
  <conditionalFormatting sqref="D7:J8 C5:J6">
    <cfRule type="cellIs" dxfId="49" priority="36" operator="greaterThan">
      <formula>0</formula>
    </cfRule>
  </conditionalFormatting>
  <conditionalFormatting sqref="E5:E17 G5:G23 I5:I26 L5:L37 C10:C37">
    <cfRule type="cellIs" dxfId="48" priority="2" operator="greaterThan">
      <formula>0.00001157407407</formula>
    </cfRule>
  </conditionalFormatting>
  <conditionalFormatting sqref="F34:F35 H34:I35 I36:I37">
    <cfRule type="cellIs" dxfId="47" priority="62" operator="greaterThan">
      <formula>0.00001157407407</formula>
    </cfRule>
  </conditionalFormatting>
  <conditionalFormatting sqref="G34:G35">
    <cfRule type="cellIs" dxfId="46" priority="67" operator="greaterThan">
      <formula>0.00001157407407</formula>
    </cfRule>
  </conditionalFormatting>
  <conditionalFormatting sqref="K14:K31 L31:L32 C34:J35 L34:M37 E36:J36 C37:J37">
    <cfRule type="cellIs" dxfId="45" priority="70" operator="greaterThan">
      <formula>0</formula>
    </cfRule>
  </conditionalFormatting>
  <conditionalFormatting sqref="K33:K37 C2:M4">
    <cfRule type="cellIs" dxfId="44" priority="60" operator="greaterThan">
      <formula>0</formula>
    </cfRule>
  </conditionalFormatting>
  <conditionalFormatting sqref="K34:K36">
    <cfRule type="cellIs" dxfId="43" priority="57" operator="greaterThan">
      <formula>0.00001157407407</formula>
    </cfRule>
  </conditionalFormatting>
  <conditionalFormatting sqref="K5:M12 C7 D8 D9:J9 C14:J17 L14:M33 F18:J20 C18:D21 F21 G21:J23 C22:E23 C24:J25 C26:F26 H26:J26 C27:G27 J27:J28 C28:H29 K29 C30:J31 K31 C32:I32 C33:J33">
    <cfRule type="cellIs" dxfId="42" priority="26" operator="greaterThan">
      <formula>0</formula>
    </cfRule>
    <cfRule type="cellIs" dxfId="41" priority="27" operator="greaterThan">
      <formula>0</formula>
    </cfRule>
  </conditionalFormatting>
  <conditionalFormatting sqref="K34:M37">
    <cfRule type="cellIs" dxfId="40" priority="59" operator="greaterThan">
      <formula>0</formula>
    </cfRule>
  </conditionalFormatting>
  <conditionalFormatting sqref="N2:N4 N6:N12 N14:N32">
    <cfRule type="cellIs" dxfId="39" priority="52" operator="equal">
      <formula>$B2</formula>
    </cfRule>
  </conditionalFormatting>
  <conditionalFormatting sqref="N34:N37">
    <cfRule type="cellIs" dxfId="38" priority="50" operator="equal">
      <formula>$B34</formula>
    </cfRule>
  </conditionalFormatting>
  <pageMargins left="0.7" right="0.7" top="0.75" bottom="0.75" header="0" footer="0"/>
  <pageSetup paperSize="9"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3"/>
  <sheetViews>
    <sheetView tabSelected="1" workbookViewId="0">
      <selection activeCell="Q24" sqref="Q24"/>
    </sheetView>
  </sheetViews>
  <sheetFormatPr baseColWidth="10" defaultColWidth="12.625" defaultRowHeight="15" customHeight="1" x14ac:dyDescent="0.2"/>
  <cols>
    <col min="1" max="1" width="42.625" customWidth="1"/>
    <col min="2" max="2" width="11.375" customWidth="1"/>
    <col min="3" max="27" width="10" customWidth="1"/>
  </cols>
  <sheetData>
    <row r="1" spans="1:27" ht="14.25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25">
      <c r="A2" s="36" t="s">
        <v>19</v>
      </c>
      <c r="B2" s="6">
        <v>4.1666666666666664E-2</v>
      </c>
      <c r="C2" s="7">
        <v>4.1666666666666664E-2</v>
      </c>
      <c r="D2" s="8"/>
      <c r="E2" s="7"/>
      <c r="F2" s="8"/>
      <c r="G2" s="22"/>
      <c r="H2" s="8"/>
      <c r="I2" s="8"/>
      <c r="J2" s="8"/>
      <c r="K2" s="8"/>
      <c r="L2" s="8"/>
      <c r="M2" s="9"/>
      <c r="N2" s="10">
        <f>SUM(C2:M2)</f>
        <v>4.1666666666666664E-2</v>
      </c>
    </row>
    <row r="3" spans="1:27" ht="14.25" customHeight="1" x14ac:dyDescent="0.25">
      <c r="A3" s="37" t="s">
        <v>21</v>
      </c>
      <c r="B3" s="29">
        <v>6.25E-2</v>
      </c>
      <c r="C3" s="30">
        <v>6.25E-2</v>
      </c>
      <c r="D3" s="31"/>
      <c r="E3" s="30"/>
      <c r="F3" s="31"/>
      <c r="G3" s="32"/>
      <c r="H3" s="31"/>
      <c r="I3" s="31"/>
      <c r="J3" s="31"/>
      <c r="K3" s="31"/>
      <c r="L3" s="31"/>
      <c r="M3" s="33"/>
      <c r="N3" s="10">
        <f>SUM(C3:M3)</f>
        <v>6.25E-2</v>
      </c>
    </row>
    <row r="4" spans="1:27" ht="14.25" customHeight="1" x14ac:dyDescent="0.25">
      <c r="A4" s="37" t="s">
        <v>25</v>
      </c>
      <c r="B4" s="29">
        <v>4.1666666666666664E-2</v>
      </c>
      <c r="C4" s="30">
        <v>4.1666666666666664E-2</v>
      </c>
      <c r="D4" s="31"/>
      <c r="E4" s="30"/>
      <c r="F4" s="31"/>
      <c r="G4" s="32"/>
      <c r="H4" s="31"/>
      <c r="I4" s="31"/>
      <c r="J4" s="31"/>
      <c r="K4" s="31"/>
      <c r="L4" s="31"/>
      <c r="M4" s="33"/>
      <c r="N4" s="10">
        <f>SUM(C4:M4)</f>
        <v>4.1666666666666664E-2</v>
      </c>
    </row>
    <row r="5" spans="1:27" ht="14.25" customHeight="1" x14ac:dyDescent="0.25">
      <c r="A5" s="23" t="s">
        <v>22</v>
      </c>
      <c r="B5" s="24"/>
      <c r="C5" s="25"/>
      <c r="D5" s="26"/>
      <c r="E5" s="25"/>
      <c r="F5" s="26"/>
      <c r="G5" s="25"/>
      <c r="H5" s="26"/>
      <c r="I5" s="25"/>
      <c r="J5" s="26"/>
      <c r="K5" s="26"/>
      <c r="L5" s="25"/>
      <c r="M5" s="27"/>
      <c r="N5" s="10"/>
    </row>
    <row r="6" spans="1:27" ht="14.25" customHeight="1" x14ac:dyDescent="0.25">
      <c r="A6" s="38" t="s">
        <v>20</v>
      </c>
      <c r="B6" s="29">
        <v>6.25E-2</v>
      </c>
      <c r="C6" s="30">
        <v>6.25E-2</v>
      </c>
      <c r="D6" s="34"/>
      <c r="E6" s="30"/>
      <c r="F6" s="34"/>
      <c r="G6" s="30"/>
      <c r="H6" s="34"/>
      <c r="I6" s="30"/>
      <c r="J6" s="34"/>
      <c r="K6" s="34"/>
      <c r="L6" s="30"/>
      <c r="M6" s="35"/>
      <c r="N6" s="10">
        <f t="shared" ref="N6:N12" si="0">SUM(C6:M6)</f>
        <v>6.25E-2</v>
      </c>
    </row>
    <row r="7" spans="1:27" ht="14.25" customHeight="1" x14ac:dyDescent="0.25">
      <c r="A7" s="37" t="s">
        <v>14</v>
      </c>
      <c r="B7" s="11">
        <v>2.0833333333333332E-2</v>
      </c>
      <c r="C7" s="12"/>
      <c r="D7" s="10">
        <v>2.0833333333333332E-2</v>
      </c>
      <c r="E7" s="12"/>
      <c r="F7" s="10"/>
      <c r="G7" s="12"/>
      <c r="H7" s="10"/>
      <c r="I7" s="12"/>
      <c r="J7" s="10"/>
      <c r="K7" s="10"/>
      <c r="L7" s="12"/>
      <c r="M7" s="13"/>
      <c r="N7" s="10">
        <f t="shared" si="0"/>
        <v>2.0833333333333332E-2</v>
      </c>
    </row>
    <row r="8" spans="1:27" ht="14.25" customHeight="1" x14ac:dyDescent="0.25">
      <c r="A8" s="37" t="s">
        <v>15</v>
      </c>
      <c r="B8" s="11">
        <v>2.0833333333333332E-2</v>
      </c>
      <c r="D8" s="12">
        <v>2.0833333333333332E-2</v>
      </c>
      <c r="E8" s="12"/>
      <c r="F8" s="10"/>
      <c r="G8" s="12"/>
      <c r="H8" s="10"/>
      <c r="I8" s="12"/>
      <c r="J8" s="10"/>
      <c r="K8" s="10"/>
      <c r="L8" s="12"/>
      <c r="M8" s="13"/>
      <c r="N8" s="10">
        <f>SUM(D8:M8)</f>
        <v>2.0833333333333332E-2</v>
      </c>
    </row>
    <row r="9" spans="1:27" ht="14.25" customHeight="1" x14ac:dyDescent="0.25">
      <c r="A9" s="37" t="s">
        <v>45</v>
      </c>
      <c r="B9" s="11">
        <v>4.1666666666666664E-2</v>
      </c>
      <c r="D9" s="12"/>
      <c r="E9" s="12">
        <v>4.1666666666666664E-2</v>
      </c>
      <c r="F9" s="10"/>
      <c r="G9" s="12"/>
      <c r="H9" s="10"/>
      <c r="I9" s="12"/>
      <c r="J9" s="10"/>
      <c r="K9" s="10"/>
      <c r="L9" s="12"/>
      <c r="M9" s="13"/>
      <c r="N9" s="10">
        <f>SUM(D9:M9)</f>
        <v>4.1666666666666664E-2</v>
      </c>
    </row>
    <row r="10" spans="1:27" ht="14.25" customHeight="1" x14ac:dyDescent="0.25">
      <c r="A10" s="37" t="s">
        <v>16</v>
      </c>
      <c r="B10" s="11">
        <v>4.1666666666666664E-2</v>
      </c>
      <c r="C10" s="12"/>
      <c r="D10" s="10">
        <v>4.1666666666666664E-2</v>
      </c>
      <c r="E10" s="12"/>
      <c r="F10" s="10"/>
      <c r="G10" s="12"/>
      <c r="H10" s="10"/>
      <c r="I10" s="12"/>
      <c r="J10" s="10"/>
      <c r="K10" s="10"/>
      <c r="L10" s="12"/>
      <c r="M10" s="13"/>
      <c r="N10" s="10">
        <f t="shared" si="0"/>
        <v>4.1666666666666664E-2</v>
      </c>
    </row>
    <row r="11" spans="1:27" ht="14.25" customHeight="1" x14ac:dyDescent="0.25">
      <c r="A11" s="37" t="s">
        <v>46</v>
      </c>
      <c r="B11" s="11">
        <v>4.1666666666666664E-2</v>
      </c>
      <c r="C11" s="14"/>
      <c r="D11" s="10"/>
      <c r="E11" s="12">
        <v>4.1666666666666664E-2</v>
      </c>
      <c r="F11" s="10"/>
      <c r="G11" s="14"/>
      <c r="H11" s="10"/>
      <c r="I11" s="14"/>
      <c r="J11" s="10"/>
      <c r="K11" s="10"/>
      <c r="L11" s="14"/>
      <c r="M11" s="13"/>
      <c r="N11" s="10">
        <f t="shared" si="0"/>
        <v>4.1666666666666664E-2</v>
      </c>
    </row>
    <row r="12" spans="1:27" ht="14.25" customHeight="1" x14ac:dyDescent="0.25">
      <c r="A12" s="37" t="s">
        <v>47</v>
      </c>
      <c r="B12" s="11">
        <v>4.1666666666666664E-2</v>
      </c>
      <c r="C12" s="12"/>
      <c r="D12" s="10">
        <v>4.1666666666666664E-2</v>
      </c>
      <c r="E12" s="12"/>
      <c r="F12" s="10"/>
      <c r="G12" s="14"/>
      <c r="H12" s="10"/>
      <c r="I12" s="14"/>
      <c r="J12" s="10"/>
      <c r="K12" s="10"/>
      <c r="L12" s="14"/>
      <c r="M12" s="13"/>
      <c r="N12" s="10">
        <f t="shared" si="0"/>
        <v>4.1666666666666664E-2</v>
      </c>
    </row>
    <row r="13" spans="1:27" ht="14.25" customHeight="1" x14ac:dyDescent="0.25">
      <c r="A13" s="23" t="s">
        <v>23</v>
      </c>
      <c r="B13" s="24"/>
      <c r="C13" s="28"/>
      <c r="D13" s="26"/>
      <c r="E13" s="28"/>
      <c r="F13" s="26"/>
      <c r="G13" s="28"/>
      <c r="H13" s="26"/>
      <c r="I13" s="28"/>
      <c r="J13" s="26"/>
      <c r="K13" s="26"/>
      <c r="L13" s="28"/>
      <c r="M13" s="27"/>
      <c r="N13" s="10"/>
    </row>
    <row r="14" spans="1:27" ht="14.25" customHeight="1" x14ac:dyDescent="0.25">
      <c r="A14" s="37" t="s">
        <v>26</v>
      </c>
      <c r="B14" s="11">
        <v>6.25E-2</v>
      </c>
      <c r="C14" s="14"/>
      <c r="D14" s="10">
        <v>6.25E-2</v>
      </c>
      <c r="E14" s="12"/>
      <c r="F14" s="10"/>
      <c r="G14" s="14"/>
      <c r="H14" s="10"/>
      <c r="I14" s="14"/>
      <c r="J14" s="10"/>
      <c r="K14" s="10"/>
      <c r="L14" s="14"/>
      <c r="M14" s="13"/>
      <c r="N14" s="10">
        <f>SUM(C14:M14)</f>
        <v>6.25E-2</v>
      </c>
    </row>
    <row r="15" spans="1:27" ht="14.25" customHeight="1" x14ac:dyDescent="0.25">
      <c r="A15" s="37" t="s">
        <v>27</v>
      </c>
      <c r="B15" s="11">
        <v>4.1666666666666664E-2</v>
      </c>
      <c r="C15" s="14"/>
      <c r="D15" s="10"/>
      <c r="E15" s="12">
        <v>4.1666666666666664E-2</v>
      </c>
      <c r="F15" s="10"/>
      <c r="G15" s="15"/>
      <c r="H15" s="10"/>
      <c r="I15" s="14"/>
      <c r="J15" s="10"/>
      <c r="K15" s="10"/>
      <c r="L15" s="14"/>
      <c r="M15" s="13"/>
      <c r="N15" s="10">
        <f t="shared" ref="N15:N38" si="1">SUM(C15:M15)</f>
        <v>4.1666666666666664E-2</v>
      </c>
    </row>
    <row r="16" spans="1:27" ht="14.25" customHeight="1" x14ac:dyDescent="0.25">
      <c r="A16" s="37" t="s">
        <v>28</v>
      </c>
      <c r="B16" s="11">
        <v>4.1666666666666664E-2</v>
      </c>
      <c r="C16" s="14"/>
      <c r="D16" s="10"/>
      <c r="E16" s="12">
        <v>4.1666666666666664E-2</v>
      </c>
      <c r="F16" s="10"/>
      <c r="G16" s="12"/>
      <c r="H16" s="10"/>
      <c r="I16" s="14"/>
      <c r="J16" s="10"/>
      <c r="K16" s="10"/>
      <c r="L16" s="14"/>
      <c r="M16" s="13"/>
      <c r="N16" s="10">
        <f t="shared" si="1"/>
        <v>4.1666666666666664E-2</v>
      </c>
    </row>
    <row r="17" spans="1:14" ht="14.25" customHeight="1" x14ac:dyDescent="0.25">
      <c r="A17" s="37" t="s">
        <v>29</v>
      </c>
      <c r="B17" s="11">
        <v>4.1666666666666664E-2</v>
      </c>
      <c r="C17" s="12"/>
      <c r="D17" s="10"/>
      <c r="E17" s="12">
        <v>4.1666666666666664E-2</v>
      </c>
      <c r="F17" s="10"/>
      <c r="G17" s="12"/>
      <c r="H17" s="10"/>
      <c r="I17" s="12"/>
      <c r="J17" s="10"/>
      <c r="K17" s="10"/>
      <c r="L17" s="12"/>
      <c r="M17" s="13"/>
      <c r="N17" s="10">
        <f t="shared" si="1"/>
        <v>4.1666666666666664E-2</v>
      </c>
    </row>
    <row r="18" spans="1:14" ht="14.25" customHeight="1" x14ac:dyDescent="0.25">
      <c r="A18" s="37" t="s">
        <v>51</v>
      </c>
      <c r="B18" s="11">
        <v>4.1666666666666664E-2</v>
      </c>
      <c r="C18" s="12"/>
      <c r="D18" s="10"/>
      <c r="F18" s="12">
        <v>4.1666666666666664E-2</v>
      </c>
      <c r="G18" s="12"/>
      <c r="H18" s="10"/>
      <c r="I18" s="12"/>
      <c r="J18" s="10"/>
      <c r="K18" s="10"/>
      <c r="L18" s="12"/>
      <c r="M18" s="13"/>
      <c r="N18" s="10">
        <f t="shared" si="1"/>
        <v>4.1666666666666664E-2</v>
      </c>
    </row>
    <row r="19" spans="1:14" ht="14.25" customHeight="1" x14ac:dyDescent="0.25">
      <c r="A19" s="37" t="s">
        <v>50</v>
      </c>
      <c r="B19" s="11">
        <v>4.1666666666666664E-2</v>
      </c>
      <c r="C19" s="12"/>
      <c r="D19" s="10"/>
      <c r="F19" s="12">
        <v>4.1666666666666664E-2</v>
      </c>
      <c r="G19" s="12"/>
      <c r="H19" s="10"/>
      <c r="I19" s="12"/>
      <c r="J19" s="10"/>
      <c r="K19" s="10"/>
      <c r="L19" s="12"/>
      <c r="M19" s="13"/>
      <c r="N19" s="10">
        <f t="shared" si="1"/>
        <v>4.1666666666666664E-2</v>
      </c>
    </row>
    <row r="20" spans="1:14" ht="14.25" customHeight="1" x14ac:dyDescent="0.25">
      <c r="A20" s="37" t="s">
        <v>32</v>
      </c>
      <c r="B20" s="11">
        <v>4.1666666666666664E-2</v>
      </c>
      <c r="C20" s="12"/>
      <c r="D20" s="10"/>
      <c r="F20" s="12">
        <v>4.1666666666666664E-2</v>
      </c>
      <c r="G20" s="10"/>
      <c r="H20" s="10"/>
      <c r="I20" s="12"/>
      <c r="J20" s="10"/>
      <c r="K20" s="10"/>
      <c r="L20" s="12"/>
      <c r="M20" s="13"/>
      <c r="N20" s="10">
        <f t="shared" si="1"/>
        <v>4.1666666666666664E-2</v>
      </c>
    </row>
    <row r="21" spans="1:14" ht="14.25" customHeight="1" x14ac:dyDescent="0.25">
      <c r="A21" s="37" t="s">
        <v>33</v>
      </c>
      <c r="B21" s="29">
        <v>0.125</v>
      </c>
      <c r="C21" s="12"/>
      <c r="D21" s="10"/>
      <c r="F21" s="12"/>
      <c r="G21" s="12"/>
      <c r="H21" s="10"/>
      <c r="I21" s="12">
        <v>0.125</v>
      </c>
      <c r="J21" s="10"/>
      <c r="K21" s="10"/>
      <c r="L21" s="12"/>
      <c r="M21" s="35"/>
      <c r="N21" s="10">
        <f>SUM(C21:M21)</f>
        <v>0.125</v>
      </c>
    </row>
    <row r="22" spans="1:14" ht="14.25" customHeight="1" x14ac:dyDescent="0.25">
      <c r="A22" s="37" t="s">
        <v>35</v>
      </c>
      <c r="B22" s="29">
        <v>0.10416666666666667</v>
      </c>
      <c r="C22" s="12"/>
      <c r="D22" s="10"/>
      <c r="E22" s="12"/>
      <c r="G22" s="10"/>
      <c r="H22" s="10">
        <v>0.10416666666666667</v>
      </c>
      <c r="I22" s="12"/>
      <c r="J22" s="10"/>
      <c r="K22" s="10"/>
      <c r="L22" s="12"/>
      <c r="M22" s="35"/>
      <c r="N22" s="10">
        <f t="shared" si="1"/>
        <v>0.10416666666666667</v>
      </c>
    </row>
    <row r="23" spans="1:14" ht="14.25" customHeight="1" x14ac:dyDescent="0.25">
      <c r="A23" s="37" t="s">
        <v>34</v>
      </c>
      <c r="B23" s="29">
        <v>0.125</v>
      </c>
      <c r="C23" s="12"/>
      <c r="D23" s="10"/>
      <c r="E23" s="12"/>
      <c r="G23" s="10">
        <v>0.125</v>
      </c>
      <c r="H23" s="10"/>
      <c r="I23" s="12"/>
      <c r="J23" s="10"/>
      <c r="K23" s="10"/>
      <c r="L23" s="12"/>
      <c r="M23" s="35"/>
      <c r="N23" s="10">
        <f t="shared" si="1"/>
        <v>0.125</v>
      </c>
    </row>
    <row r="24" spans="1:14" ht="14.25" customHeight="1" x14ac:dyDescent="0.25">
      <c r="A24" s="37" t="s">
        <v>37</v>
      </c>
      <c r="B24" s="29">
        <v>8.3333333333333329E-2</v>
      </c>
      <c r="C24" s="12"/>
      <c r="D24" s="10"/>
      <c r="E24" s="12"/>
      <c r="F24" s="10">
        <v>8.3333333333333329E-2</v>
      </c>
      <c r="G24" s="10"/>
      <c r="H24" s="12"/>
      <c r="I24" s="12"/>
      <c r="J24" s="10"/>
      <c r="K24" s="10"/>
      <c r="L24" s="12"/>
      <c r="M24" s="35"/>
      <c r="N24" s="10">
        <f t="shared" si="1"/>
        <v>8.3333333333333329E-2</v>
      </c>
    </row>
    <row r="25" spans="1:14" ht="14.25" customHeight="1" x14ac:dyDescent="0.25">
      <c r="A25" s="37" t="s">
        <v>36</v>
      </c>
      <c r="B25" s="29">
        <v>6.25E-2</v>
      </c>
      <c r="C25" s="12"/>
      <c r="D25" s="10"/>
      <c r="E25" s="12"/>
      <c r="F25" s="10"/>
      <c r="G25" s="12">
        <v>6.25E-2</v>
      </c>
      <c r="H25" s="10"/>
      <c r="I25" s="12"/>
      <c r="J25" s="10"/>
      <c r="K25" s="10"/>
      <c r="L25" s="12"/>
      <c r="M25" s="35"/>
      <c r="N25" s="10">
        <f t="shared" si="1"/>
        <v>6.25E-2</v>
      </c>
    </row>
    <row r="26" spans="1:14" ht="14.25" customHeight="1" x14ac:dyDescent="0.25">
      <c r="A26" s="37" t="s">
        <v>38</v>
      </c>
      <c r="B26" s="29">
        <v>8.3333333333333329E-2</v>
      </c>
      <c r="C26" s="12"/>
      <c r="D26" s="10"/>
      <c r="E26" s="12"/>
      <c r="F26" s="10"/>
      <c r="G26" s="40"/>
      <c r="H26" s="12"/>
      <c r="I26" s="12">
        <v>8.3333333333333329E-2</v>
      </c>
      <c r="J26" s="10"/>
      <c r="K26" s="10"/>
      <c r="L26" s="12"/>
      <c r="M26" s="35"/>
      <c r="N26" s="10">
        <f t="shared" si="1"/>
        <v>8.3333333333333329E-2</v>
      </c>
    </row>
    <row r="27" spans="1:14" ht="14.25" customHeight="1" x14ac:dyDescent="0.25">
      <c r="A27" s="37" t="s">
        <v>39</v>
      </c>
      <c r="B27" s="29">
        <v>8.3333333333333329E-2</v>
      </c>
      <c r="C27" s="12"/>
      <c r="D27" s="10"/>
      <c r="E27" s="12"/>
      <c r="F27" s="10"/>
      <c r="G27" s="12"/>
      <c r="J27" s="10">
        <v>8.3333333333333329E-2</v>
      </c>
      <c r="K27" s="10"/>
      <c r="L27" s="12"/>
      <c r="M27" s="35"/>
      <c r="N27" s="10">
        <f t="shared" si="1"/>
        <v>8.3333333333333329E-2</v>
      </c>
    </row>
    <row r="28" spans="1:14" ht="14.25" customHeight="1" x14ac:dyDescent="0.25">
      <c r="A28" s="37" t="s">
        <v>40</v>
      </c>
      <c r="B28" s="11">
        <v>8.3333333333333329E-2</v>
      </c>
      <c r="C28" s="12"/>
      <c r="D28" s="10"/>
      <c r="E28" s="12"/>
      <c r="F28" s="10"/>
      <c r="G28" s="12"/>
      <c r="H28" s="10"/>
      <c r="J28" s="10">
        <v>8.3333333333333329E-2</v>
      </c>
      <c r="K28" s="10"/>
      <c r="L28" s="12"/>
      <c r="M28" s="13"/>
      <c r="N28" s="10">
        <f t="shared" si="1"/>
        <v>8.3333333333333329E-2</v>
      </c>
    </row>
    <row r="29" spans="1:14" ht="14.25" customHeight="1" x14ac:dyDescent="0.25">
      <c r="A29" s="37" t="s">
        <v>41</v>
      </c>
      <c r="B29" s="11">
        <v>8.3333333333333329E-2</v>
      </c>
      <c r="C29" s="12"/>
      <c r="D29" s="10"/>
      <c r="E29" s="12"/>
      <c r="F29" s="10"/>
      <c r="G29" s="12"/>
      <c r="H29" s="10"/>
      <c r="J29" s="10">
        <v>8.3333333333333329E-2</v>
      </c>
      <c r="K29" s="12"/>
      <c r="L29" s="12"/>
      <c r="M29" s="13"/>
      <c r="N29" s="10">
        <f t="shared" si="1"/>
        <v>8.3333333333333329E-2</v>
      </c>
    </row>
    <row r="30" spans="1:14" ht="14.25" customHeight="1" x14ac:dyDescent="0.25">
      <c r="A30" s="37" t="s">
        <v>42</v>
      </c>
      <c r="B30" s="29">
        <v>8.3333333333333329E-2</v>
      </c>
      <c r="C30" s="12"/>
      <c r="D30" s="10"/>
      <c r="E30" s="12"/>
      <c r="F30" s="10"/>
      <c r="G30" s="12"/>
      <c r="H30" s="10"/>
      <c r="I30" s="12"/>
      <c r="J30" s="10">
        <v>4.1666666666666664E-2</v>
      </c>
      <c r="K30" s="10">
        <v>4.1666666666666664E-2</v>
      </c>
      <c r="L30" s="12"/>
      <c r="M30" s="35"/>
      <c r="N30" s="10">
        <f t="shared" si="1"/>
        <v>8.3333333333333329E-2</v>
      </c>
    </row>
    <row r="31" spans="1:14" ht="14.25" customHeight="1" x14ac:dyDescent="0.25">
      <c r="A31" s="37" t="s">
        <v>43</v>
      </c>
      <c r="B31" s="29">
        <v>8.3333333333333329E-2</v>
      </c>
      <c r="C31" s="12"/>
      <c r="D31" s="10"/>
      <c r="E31" s="12"/>
      <c r="F31" s="10"/>
      <c r="G31" s="12"/>
      <c r="H31" s="10"/>
      <c r="I31" s="12"/>
      <c r="J31" s="10"/>
      <c r="K31" s="10">
        <v>8.3333333333333301E-2</v>
      </c>
      <c r="L31" s="10"/>
      <c r="M31" s="35"/>
      <c r="N31" s="10">
        <f t="shared" si="1"/>
        <v>8.3333333333333301E-2</v>
      </c>
    </row>
    <row r="32" spans="1:14" ht="14.25" customHeight="1" x14ac:dyDescent="0.25">
      <c r="A32" s="37" t="s">
        <v>44</v>
      </c>
      <c r="B32" s="29">
        <v>8.3333333333333329E-2</v>
      </c>
      <c r="C32" s="12"/>
      <c r="D32" s="10"/>
      <c r="E32" s="12"/>
      <c r="F32" s="10"/>
      <c r="G32" s="12"/>
      <c r="H32" s="10"/>
      <c r="I32" s="12"/>
      <c r="K32" s="10">
        <v>8.3333333333333329E-2</v>
      </c>
      <c r="L32" s="10"/>
      <c r="M32" s="35"/>
      <c r="N32" s="10">
        <f t="shared" si="1"/>
        <v>8.3333333333333329E-2</v>
      </c>
    </row>
    <row r="33" spans="1:14" ht="14.25" customHeight="1" x14ac:dyDescent="0.25">
      <c r="A33" s="37" t="s">
        <v>52</v>
      </c>
      <c r="B33" s="29">
        <v>0.10416666666666667</v>
      </c>
      <c r="C33" s="12"/>
      <c r="D33" s="10"/>
      <c r="E33" s="12"/>
      <c r="F33" s="10"/>
      <c r="G33" s="12"/>
      <c r="H33" s="10"/>
      <c r="I33" s="12"/>
      <c r="L33" s="10">
        <v>0.10416666666666667</v>
      </c>
      <c r="M33" s="35"/>
      <c r="N33" s="10">
        <f>SUM(C33:M33)</f>
        <v>0.10416666666666667</v>
      </c>
    </row>
    <row r="34" spans="1:14" ht="14.25" customHeight="1" x14ac:dyDescent="0.25">
      <c r="A34" s="23" t="s">
        <v>24</v>
      </c>
      <c r="B34" s="24"/>
      <c r="C34" s="28"/>
      <c r="D34" s="26"/>
      <c r="E34" s="28"/>
      <c r="F34" s="26"/>
      <c r="G34" s="28"/>
      <c r="H34" s="26"/>
      <c r="I34" s="28"/>
      <c r="J34" s="26"/>
      <c r="K34" s="26"/>
      <c r="L34" s="28"/>
      <c r="M34" s="27"/>
      <c r="N34" s="10"/>
    </row>
    <row r="35" spans="1:14" ht="14.25" customHeight="1" x14ac:dyDescent="0.25">
      <c r="A35" s="37" t="s">
        <v>49</v>
      </c>
      <c r="B35" s="11">
        <v>0.375</v>
      </c>
      <c r="C35" s="12"/>
      <c r="D35" s="12">
        <v>4.1666666666666664E-2</v>
      </c>
      <c r="E35" s="12">
        <v>2.0833333333333332E-2</v>
      </c>
      <c r="F35" s="12">
        <v>2.0833333333333332E-2</v>
      </c>
      <c r="G35" s="12">
        <v>4.1666666666666664E-2</v>
      </c>
      <c r="H35" s="12">
        <v>4.1666666666666664E-2</v>
      </c>
      <c r="I35" s="12">
        <v>2.0833333333333332E-2</v>
      </c>
      <c r="J35" s="12">
        <v>2.0833333333333332E-2</v>
      </c>
      <c r="K35" s="12">
        <v>2.0833333333333332E-2</v>
      </c>
      <c r="L35" s="12">
        <v>2.0833333333333332E-2</v>
      </c>
      <c r="M35" s="13">
        <v>0.125</v>
      </c>
      <c r="N35" s="10">
        <f t="shared" si="1"/>
        <v>0.375</v>
      </c>
    </row>
    <row r="36" spans="1:14" ht="14.25" customHeight="1" x14ac:dyDescent="0.25">
      <c r="A36" s="37" t="s">
        <v>48</v>
      </c>
      <c r="B36" s="11">
        <v>0.25</v>
      </c>
      <c r="C36" s="12">
        <v>4.1666666666666664E-2</v>
      </c>
      <c r="D36" s="12">
        <v>2.0833333333333332E-2</v>
      </c>
      <c r="E36" s="12">
        <v>2.0833333333333332E-2</v>
      </c>
      <c r="F36" s="12">
        <v>2.0833333333333332E-2</v>
      </c>
      <c r="G36" s="12">
        <v>2.0833333333333332E-2</v>
      </c>
      <c r="H36" s="12">
        <v>2.0833333333333332E-2</v>
      </c>
      <c r="I36" s="12">
        <v>2.0833333333333332E-2</v>
      </c>
      <c r="J36" s="12">
        <v>2.0833333333333332E-2</v>
      </c>
      <c r="K36" s="12">
        <v>2.0833333333333332E-2</v>
      </c>
      <c r="L36" s="12">
        <v>2.0833333333333332E-2</v>
      </c>
      <c r="M36" s="13">
        <v>2.0833333333333332E-2</v>
      </c>
      <c r="N36" s="10">
        <f t="shared" si="1"/>
        <v>0.25</v>
      </c>
    </row>
    <row r="37" spans="1:14" ht="14.25" customHeight="1" x14ac:dyDescent="0.25">
      <c r="A37" s="37" t="s">
        <v>17</v>
      </c>
      <c r="B37" s="11">
        <v>1</v>
      </c>
      <c r="C37" s="12">
        <v>8.3333333333333329E-2</v>
      </c>
      <c r="D37" s="12">
        <v>8.3333333333333329E-2</v>
      </c>
      <c r="E37" s="12">
        <v>8.3333333333333329E-2</v>
      </c>
      <c r="F37" s="12">
        <v>8.3333333333333329E-2</v>
      </c>
      <c r="G37" s="12">
        <v>8.3333333333333329E-2</v>
      </c>
      <c r="H37" s="12">
        <v>0.16666666666666666</v>
      </c>
      <c r="I37" s="12">
        <v>8.3333333333333329E-2</v>
      </c>
      <c r="J37" s="12"/>
      <c r="K37" s="12">
        <v>8.3333333333333329E-2</v>
      </c>
      <c r="L37" s="12">
        <v>0.1875</v>
      </c>
      <c r="M37" s="16">
        <v>6.25E-2</v>
      </c>
      <c r="N37" s="10">
        <f t="shared" si="1"/>
        <v>1</v>
      </c>
    </row>
    <row r="38" spans="1:14" ht="14.25" customHeight="1" thickBot="1" x14ac:dyDescent="0.3">
      <c r="A38" s="39" t="s">
        <v>18</v>
      </c>
      <c r="B38" s="17">
        <v>0.125</v>
      </c>
      <c r="C38" s="18"/>
      <c r="D38" s="19"/>
      <c r="E38" s="18"/>
      <c r="F38" s="19"/>
      <c r="G38" s="18"/>
      <c r="H38" s="19"/>
      <c r="I38" s="18"/>
      <c r="J38" s="19"/>
      <c r="K38" s="19"/>
      <c r="L38" s="20"/>
      <c r="M38" s="21">
        <v>0.125</v>
      </c>
      <c r="N38" s="10">
        <f t="shared" si="1"/>
        <v>0.125</v>
      </c>
    </row>
    <row r="39" spans="1:14" ht="14.25" customHeight="1" x14ac:dyDescent="0.25">
      <c r="B39" s="10">
        <f t="shared" ref="B39:M39" si="2">SUM(B2:B38)</f>
        <v>3.6666666666666661</v>
      </c>
      <c r="C39" s="10">
        <f t="shared" si="2"/>
        <v>0.33333333333333331</v>
      </c>
      <c r="D39" s="10">
        <f t="shared" si="2"/>
        <v>0.33333333333333331</v>
      </c>
      <c r="E39" s="10">
        <f t="shared" si="2"/>
        <v>0.33333333333333331</v>
      </c>
      <c r="F39" s="10">
        <f t="shared" si="2"/>
        <v>0.33333333333333331</v>
      </c>
      <c r="G39" s="10">
        <f t="shared" si="2"/>
        <v>0.33333333333333331</v>
      </c>
      <c r="H39" s="10">
        <f t="shared" si="2"/>
        <v>0.33333333333333337</v>
      </c>
      <c r="I39" s="10">
        <f t="shared" si="2"/>
        <v>0.33333333333333331</v>
      </c>
      <c r="J39" s="10">
        <f t="shared" si="2"/>
        <v>0.33333333333333331</v>
      </c>
      <c r="K39" s="10">
        <f t="shared" si="2"/>
        <v>0.33333333333333331</v>
      </c>
      <c r="L39" s="10">
        <f t="shared" si="2"/>
        <v>0.33333333333333337</v>
      </c>
      <c r="M39" s="10">
        <f t="shared" si="2"/>
        <v>0.33333333333333337</v>
      </c>
    </row>
    <row r="40" spans="1:14" ht="14.25" customHeight="1" x14ac:dyDescent="0.25">
      <c r="M40" s="10">
        <f>SUM(C39:M39)</f>
        <v>3.6666666666666674</v>
      </c>
      <c r="N40" s="10">
        <f>SUM(N2:N38)</f>
        <v>3.6666666666666661</v>
      </c>
    </row>
    <row r="41" spans="1:14" ht="14.25" customHeight="1" x14ac:dyDescent="0.2"/>
    <row r="42" spans="1:14" ht="14.25" customHeight="1" x14ac:dyDescent="0.2"/>
    <row r="43" spans="1:14" ht="14.25" customHeight="1" x14ac:dyDescent="0.2"/>
    <row r="44" spans="1:14" ht="14.25" customHeight="1" x14ac:dyDescent="0.2"/>
    <row r="45" spans="1:14" ht="14.25" customHeight="1" x14ac:dyDescent="0.2"/>
    <row r="46" spans="1:14" ht="14.25" customHeight="1" x14ac:dyDescent="0.2"/>
    <row r="47" spans="1:14" ht="14.25" customHeight="1" x14ac:dyDescent="0.2"/>
    <row r="48" spans="1:1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</sheetData>
  <conditionalFormatting sqref="C5:C7 D8:D9 F18:F21 E22:E38 G24:H24 G25 H26 J27:J28 G27:G38 I30:I34 J29:K29">
    <cfRule type="cellIs" dxfId="37" priority="40" operator="greaterThan">
      <formula>0.00001157407407</formula>
    </cfRule>
  </conditionalFormatting>
  <conditionalFormatting sqref="C7 D8 D9:J9 F18:J20 F21 C22:E23 C24:J25 C26:F26 H26:J26 C27:G27 C28:H29 K29 C30:J31 C32:I33 C34:K34 K5:M12 C14:J17 L14:M34 C18:D21 G21:J23 J27:J29">
    <cfRule type="cellIs" dxfId="36" priority="39" operator="greaterThan">
      <formula>0</formula>
    </cfRule>
  </conditionalFormatting>
  <conditionalFormatting sqref="C37:D37">
    <cfRule type="cellIs" dxfId="35" priority="36" operator="greaterThan">
      <formula>0</formula>
    </cfRule>
    <cfRule type="cellIs" dxfId="34" priority="36" operator="greaterThan">
      <formula>0</formula>
    </cfRule>
    <cfRule type="cellIs" dxfId="33" priority="36" operator="greaterThan">
      <formula>0</formula>
    </cfRule>
  </conditionalFormatting>
  <conditionalFormatting sqref="C5:J6 D7:J8">
    <cfRule type="cellIs" dxfId="32" priority="34" operator="greaterThan">
      <formula>0</formula>
    </cfRule>
    <cfRule type="cellIs" dxfId="31" priority="34" operator="greaterThan">
      <formula>0</formula>
    </cfRule>
  </conditionalFormatting>
  <conditionalFormatting sqref="C10:J12">
    <cfRule type="cellIs" dxfId="30" priority="31" operator="greaterThan">
      <formula>0</formula>
    </cfRule>
    <cfRule type="cellIs" dxfId="29" priority="31" operator="greaterThan">
      <formula>0</formula>
    </cfRule>
    <cfRule type="cellIs" dxfId="28" priority="31" operator="greaterThan">
      <formula>0</formula>
    </cfRule>
  </conditionalFormatting>
  <conditionalFormatting sqref="C35:J36 L35:M38 E37:J37 L31:L33 C38:J38 G36:H37 K14:K32">
    <cfRule type="cellIs" dxfId="27" priority="41" operator="greaterThan">
      <formula>0</formula>
    </cfRule>
  </conditionalFormatting>
  <conditionalFormatting sqref="C35:J36 L35:M38 E37:J37 G36:H37">
    <cfRule type="cellIs" dxfId="26" priority="38" operator="greaterThan">
      <formula>0</formula>
    </cfRule>
  </conditionalFormatting>
  <conditionalFormatting sqref="C35:K35 C36:J36 E37:J37 C38:J38 K36:K38 L31:L33 G36:H37 K14:K32">
    <cfRule type="cellIs" dxfId="25" priority="35" operator="greaterThan">
      <formula>0</formula>
    </cfRule>
  </conditionalFormatting>
  <conditionalFormatting sqref="C2:M4 K34:K38">
    <cfRule type="cellIs" dxfId="24" priority="33" operator="greaterThan">
      <formula>0</formula>
    </cfRule>
  </conditionalFormatting>
  <conditionalFormatting sqref="C2:M4">
    <cfRule type="cellIs" dxfId="23" priority="28" operator="greaterThan">
      <formula>0.00001157407407</formula>
    </cfRule>
    <cfRule type="cellIs" dxfId="22" priority="29" operator="greaterThan">
      <formula>0</formula>
    </cfRule>
  </conditionalFormatting>
  <conditionalFormatting sqref="C13:M13">
    <cfRule type="cellIs" dxfId="21" priority="22" operator="greaterThan">
      <formula>0</formula>
    </cfRule>
    <cfRule type="cellIs" dxfId="20" priority="22" operator="greaterThan">
      <formula>0</formula>
    </cfRule>
    <cfRule type="cellIs" dxfId="19" priority="22" operator="greaterThan">
      <formula>0</formula>
    </cfRule>
  </conditionalFormatting>
  <conditionalFormatting sqref="C39:M39">
    <cfRule type="cellIs" dxfId="18" priority="25" operator="equal">
      <formula>0.333333333333333</formula>
    </cfRule>
  </conditionalFormatting>
  <conditionalFormatting sqref="D35:D36 J35:J37 M37 F37:H37">
    <cfRule type="cellIs" dxfId="17" priority="42" operator="greaterThan">
      <formula>0.00001157407407</formula>
    </cfRule>
  </conditionalFormatting>
  <conditionalFormatting sqref="D37">
    <cfRule type="cellIs" dxfId="16" priority="18" operator="greaterThan">
      <formula>0</formula>
    </cfRule>
    <cfRule type="cellIs" dxfId="15" priority="18" operator="greaterThan">
      <formula>0.00001157407407</formula>
    </cfRule>
  </conditionalFormatting>
  <conditionalFormatting sqref="D7:J8 C5:J6">
    <cfRule type="cellIs" dxfId="14" priority="43" operator="greaterThan">
      <formula>0</formula>
    </cfRule>
  </conditionalFormatting>
  <conditionalFormatting sqref="E5:E17 G5:G23 I5:I26 L5:L38 C10:C38">
    <cfRule type="cellIs" dxfId="13" priority="16" operator="greaterThan">
      <formula>0.00001157407407</formula>
    </cfRule>
  </conditionalFormatting>
  <conditionalFormatting sqref="F35:F36 H35:I36 I37:I38">
    <cfRule type="cellIs" dxfId="12" priority="44" operator="greaterThan">
      <formula>0.00001157407407</formula>
    </cfRule>
  </conditionalFormatting>
  <conditionalFormatting sqref="G35:G36">
    <cfRule type="cellIs" dxfId="11" priority="37" operator="greaterThan">
      <formula>0.00001157407407</formula>
    </cfRule>
  </conditionalFormatting>
  <conditionalFormatting sqref="L31:L33 C35:J36 L35:M38 E37:J37 C38:J38 G36:H37 K14:K32">
    <cfRule type="cellIs" dxfId="10" priority="45" operator="greaterThan">
      <formula>0</formula>
    </cfRule>
  </conditionalFormatting>
  <conditionalFormatting sqref="K34:K38 C2:M4">
    <cfRule type="cellIs" dxfId="9" priority="32" operator="greaterThan">
      <formula>0</formula>
    </cfRule>
  </conditionalFormatting>
  <conditionalFormatting sqref="K35:K37">
    <cfRule type="cellIs" dxfId="8" priority="30" operator="greaterThan">
      <formula>0.00001157407407</formula>
    </cfRule>
  </conditionalFormatting>
  <conditionalFormatting sqref="K5:M12 C7 D8 D9:J9 C14:J17 L14:M34 F18:J20 C18:D21 F21 G21:J23 C22:E23 C24:J25 C26:F26 H26:J26 C27:G27 C28:H29 K29 C30:J31 C32:I33 C34:J34 J27:J29">
    <cfRule type="cellIs" dxfId="7" priority="20" operator="greaterThan">
      <formula>0</formula>
    </cfRule>
    <cfRule type="cellIs" dxfId="6" priority="21" operator="greaterThan">
      <formula>0</formula>
    </cfRule>
  </conditionalFormatting>
  <conditionalFormatting sqref="K35:M38">
    <cfRule type="cellIs" dxfId="5" priority="46" operator="greaterThan">
      <formula>0</formula>
    </cfRule>
  </conditionalFormatting>
  <conditionalFormatting sqref="N2:N4 N6:N12 N14:N33">
    <cfRule type="cellIs" dxfId="4" priority="27" operator="equal">
      <formula>$B2</formula>
    </cfRule>
  </conditionalFormatting>
  <conditionalFormatting sqref="N35:N38">
    <cfRule type="cellIs" dxfId="3" priority="26" operator="equal">
      <formula>$B35</formula>
    </cfRule>
  </conditionalFormatting>
  <conditionalFormatting sqref="A1:XFD1048576">
    <cfRule type="colorScale" priority="4">
      <colorScale>
        <cfvo type="min"/>
        <cfvo type="percentile" val="50"/>
        <cfvo type="max"/>
        <color theme="4" tint="0.59999389629810485"/>
        <color theme="8" tint="0.39997558519241921"/>
        <color theme="8" tint="-0.249977111117893"/>
      </colorScale>
    </cfRule>
    <cfRule type="colorScale" priority="5">
      <colorScale>
        <cfvo type="min"/>
        <cfvo type="percentile" val="50"/>
        <cfvo type="max"/>
        <color theme="3" tint="0.59999389629810485"/>
        <color theme="8" tint="0.39997558519241921"/>
        <color theme="8" tint="-0.249977111117893"/>
      </colorScale>
    </cfRule>
  </conditionalFormatting>
  <conditionalFormatting sqref="H36:H37">
    <cfRule type="cellIs" dxfId="2" priority="2" operator="greaterThan">
      <formula>0.00001157407407</formula>
    </cfRule>
  </conditionalFormatting>
  <conditionalFormatting sqref="G36">
    <cfRule type="cellIs" dxfId="1" priority="3" operator="greaterThan">
      <formula>0.00001157407407</formula>
    </cfRule>
  </conditionalFormatting>
  <conditionalFormatting sqref="H36">
    <cfRule type="cellIs" dxfId="0" priority="1" operator="greaterThan">
      <formula>0.00001157407407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 prévisionnel</vt:lpstr>
      <vt:lpstr>Planning effectif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Ilan Maleq</cp:lastModifiedBy>
  <cp:lastPrinted>2023-04-27T14:39:09Z</cp:lastPrinted>
  <dcterms:created xsi:type="dcterms:W3CDTF">2014-02-05T07:48:38Z</dcterms:created>
  <dcterms:modified xsi:type="dcterms:W3CDTF">2023-05-16T08:10:47Z</dcterms:modified>
</cp:coreProperties>
</file>